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11745" yWindow="900" windowWidth="38700" windowHeight="15345" tabRatio="808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0" l="1"/>
  <c r="A2" i="10"/>
  <c r="F10" i="9"/>
  <c r="E10" i="9"/>
  <c r="E3" i="9"/>
  <c r="C6" i="8" l="1"/>
  <c r="C5" i="8"/>
  <c r="C23" i="8"/>
  <c r="C19" i="8"/>
  <c r="C15" i="8"/>
  <c r="C11" i="8"/>
  <c r="C4" i="8"/>
  <c r="C3" i="8"/>
  <c r="C2" i="8"/>
  <c r="A32" i="7"/>
  <c r="A29" i="7"/>
  <c r="B23" i="7"/>
  <c r="B22" i="7"/>
  <c r="A26" i="7"/>
  <c r="A23" i="7"/>
  <c r="A15" i="7"/>
  <c r="A11" i="7"/>
  <c r="A3" i="7"/>
  <c r="A7" i="7"/>
  <c r="F10" i="6"/>
  <c r="F3" i="6"/>
  <c r="F8" i="6"/>
  <c r="F9" i="6"/>
  <c r="F7" i="6"/>
  <c r="F2" i="6"/>
  <c r="E12" i="5"/>
  <c r="E11" i="5"/>
  <c r="E10" i="5"/>
  <c r="E7" i="5"/>
  <c r="E6" i="5"/>
  <c r="E5" i="5"/>
  <c r="E4" i="5"/>
  <c r="E3" i="5"/>
  <c r="E2" i="5"/>
  <c r="B5" i="4"/>
  <c r="B9" i="12"/>
  <c r="E5" i="12"/>
  <c r="C5" i="12"/>
  <c r="D5" i="12"/>
  <c r="B5" i="12"/>
  <c r="E3" i="12"/>
  <c r="E4" i="12"/>
  <c r="E2" i="12"/>
  <c r="C4" i="12"/>
  <c r="D4" i="12"/>
  <c r="B4" i="12"/>
  <c r="A3" i="11" l="1"/>
  <c r="B4" i="11"/>
  <c r="B3" i="11"/>
  <c r="A2" i="11"/>
  <c r="A1" i="11"/>
  <c r="B4" i="4"/>
</calcChain>
</file>

<file path=xl/sharedStrings.xml><?xml version="1.0" encoding="utf-8"?>
<sst xmlns="http://schemas.openxmlformats.org/spreadsheetml/2006/main" count="152" uniqueCount="75">
  <si>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</si>
  <si>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</si>
  <si>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</si>
  <si>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</si>
  <si>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</si>
  <si>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</si>
  <si>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</si>
  <si>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</si>
  <si>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</si>
  <si>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</si>
  <si>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</si>
  <si>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</si>
  <si>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</si>
  <si>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</si>
  <si>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</si>
  <si>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</si>
  <si>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</si>
  <si>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</si>
  <si>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</si>
  <si>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</si>
  <si>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</si>
  <si>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</si>
  <si>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</si>
  <si>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</si>
  <si>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</si>
  <si>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</si>
  <si>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</si>
  <si>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</si>
  <si>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</si>
  <si>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</si>
  <si>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</si>
  <si>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</si>
  <si>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</si>
  <si>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</si>
  <si>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</si>
  <si>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</si>
  <si>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</si>
  <si>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</si>
  <si>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</si>
  <si>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</si>
  <si>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</si>
  <si>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</si>
  <si>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</si>
  <si>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</si>
  <si>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</si>
  <si>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</si>
  <si>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</si>
  <si>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</si>
  <si>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</si>
  <si>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</si>
  <si>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</si>
  <si>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</si>
  <si>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</si>
  <si>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</si>
  <si>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</si>
  <si>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</si>
  <si>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</si>
  <si>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</si>
  <si>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</si>
  <si>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</si>
  <si>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</si>
  <si>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</si>
  <si>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</si>
  <si>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</si>
  <si>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</si>
  <si>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</si>
  <si>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</si>
  <si>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</si>
  <si>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</si>
  <si>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</si>
  <si>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</si>
  <si>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</si>
  <si>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</si>
  <si>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INDEX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</si>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</sst>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zoomScale="175" zoomScaleNormal="175" workbookViewId="0">
      <selection activeCell="B10" sqref="B10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25">
      <c r="A2" s="2" t="s">
        <v>5</v>
      </c>
      <c r="B2">
        <v>10</v>
      </c>
      <c r="C2">
        <v>8</v>
      </c>
      <c r="D2">
        <v>5</v>
      </c>
      <c r="E2">
        <f>SUM(B2:D2)</f>
        <v>23</v>
      </c>
      <c r="G2" s="3">
        <v>0.1</v>
      </c>
    </row>
    <row r="3" spans="1:7" x14ac:dyDescent="0.25">
      <c r="A3" s="2" t="s">
        <v>6</v>
      </c>
      <c r="B3">
        <v>4</v>
      </c>
      <c r="C3">
        <v>3</v>
      </c>
      <c r="D3">
        <v>2</v>
      </c>
      <c r="E3">
        <f t="shared" ref="E3:E4" si="0">SUM(B3:D3)</f>
        <v>9</v>
      </c>
    </row>
    <row r="4" spans="1:7" x14ac:dyDescent="0.25">
      <c r="A4" s="2" t="s">
        <v>7</v>
      </c>
      <c r="B4">
        <f>B2-B3</f>
        <v>6</v>
      </c>
      <c r="C4">
        <f t="shared" ref="C4:D4" si="1">C2-C3</f>
        <v>5</v>
      </c>
      <c r="D4">
        <f t="shared" si="1"/>
        <v>3</v>
      </c>
      <c r="E4">
        <f t="shared" si="0"/>
        <v>14</v>
      </c>
    </row>
    <row r="5" spans="1:7" x14ac:dyDescent="0.25">
      <c r="A5" s="2" t="s">
        <v>8</v>
      </c>
      <c r="B5">
        <f>B4*$G$2</f>
        <v>0.60000000000000009</v>
      </c>
      <c r="C5">
        <f t="shared" ref="C5:E5" si="2">C4*$G$2</f>
        <v>0.5</v>
      </c>
      <c r="D5">
        <f t="shared" si="2"/>
        <v>0.30000000000000004</v>
      </c>
      <c r="E5">
        <f t="shared" si="2"/>
        <v>1.4000000000000001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9</v>
      </c>
      <c r="B9">
        <f>E4/2</f>
        <v>7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zoomScaleNormal="100" workbookViewId="0">
      <selection activeCell="B3" sqref="B3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="265" zoomScaleNormal="265" workbookViewId="0">
      <selection activeCell="B6" sqref="B6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4</v>
      </c>
    </row>
    <row r="2" spans="1:4" x14ac:dyDescent="0.25">
      <c r="A2" s="2" t="s">
        <v>5</v>
      </c>
      <c r="B2">
        <v>10</v>
      </c>
      <c r="D2" s="3">
        <v>0.1</v>
      </c>
    </row>
    <row r="3" spans="1:4" x14ac:dyDescent="0.25">
      <c r="A3" s="2" t="s">
        <v>6</v>
      </c>
      <c r="B3">
        <v>4</v>
      </c>
    </row>
    <row r="4" spans="1:4" x14ac:dyDescent="0.25">
      <c r="A4" s="2" t="s">
        <v>7</v>
      </c>
      <c r="B4">
        <f>B2-B3</f>
        <v>6</v>
      </c>
    </row>
    <row r="5" spans="1:4" x14ac:dyDescent="0.25">
      <c r="A5" s="2" t="s">
        <v>8</v>
      </c>
      <c r="B5">
        <f>(B2-B3)*D2</f>
        <v>0.60000000000000009</v>
      </c>
    </row>
    <row r="7" spans="1:4" x14ac:dyDescent="0.25">
      <c r="A7" s="4" t="s">
        <v>10</v>
      </c>
    </row>
    <row r="8" spans="1:4" x14ac:dyDescent="0.25">
      <c r="A8" s="4" t="s">
        <v>11</v>
      </c>
    </row>
    <row r="9" spans="1:4" x14ac:dyDescent="0.2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="175" zoomScaleNormal="175" workbookViewId="0">
      <selection activeCell="E1" sqref="E1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5" x14ac:dyDescent="0.25">
      <c r="A1" s="2" t="s">
        <v>13</v>
      </c>
      <c r="B1" s="2" t="s">
        <v>14</v>
      </c>
    </row>
    <row r="2" spans="1:5" x14ac:dyDescent="0.25">
      <c r="A2" t="s">
        <v>0</v>
      </c>
      <c r="B2">
        <v>97</v>
      </c>
      <c r="D2" t="s">
        <v>15</v>
      </c>
      <c r="E2">
        <f>SUM(B:B)</f>
        <v>421</v>
      </c>
    </row>
    <row r="3" spans="1:5" x14ac:dyDescent="0.25">
      <c r="A3" t="s">
        <v>1</v>
      </c>
      <c r="B3">
        <v>77</v>
      </c>
      <c r="D3" t="s">
        <v>16</v>
      </c>
      <c r="E3">
        <f>MAX(B:B)</f>
        <v>97</v>
      </c>
    </row>
    <row r="4" spans="1:5" x14ac:dyDescent="0.25">
      <c r="A4" t="s">
        <v>2</v>
      </c>
      <c r="B4">
        <v>67</v>
      </c>
      <c r="D4" t="s">
        <v>17</v>
      </c>
      <c r="E4">
        <f>MIN(B:B)</f>
        <v>36</v>
      </c>
    </row>
    <row r="5" spans="1:5" x14ac:dyDescent="0.25">
      <c r="A5" t="s">
        <v>18</v>
      </c>
      <c r="B5">
        <v>52</v>
      </c>
      <c r="D5" t="s">
        <v>19</v>
      </c>
      <c r="E5">
        <f>LARGE(B:B,2)</f>
        <v>77</v>
      </c>
    </row>
    <row r="6" spans="1:5" x14ac:dyDescent="0.25">
      <c r="A6" t="s">
        <v>20</v>
      </c>
      <c r="B6">
        <v>52</v>
      </c>
      <c r="D6" t="s">
        <v>21</v>
      </c>
      <c r="E6">
        <f>SMALL(B:B,2)</f>
        <v>40</v>
      </c>
    </row>
    <row r="7" spans="1:5" x14ac:dyDescent="0.25">
      <c r="A7" t="s">
        <v>22</v>
      </c>
      <c r="B7">
        <v>40</v>
      </c>
      <c r="D7" t="s">
        <v>23</v>
      </c>
      <c r="E7">
        <f>COUNT(B:B)</f>
        <v>7</v>
      </c>
    </row>
    <row r="8" spans="1:5" x14ac:dyDescent="0.25">
      <c r="A8" t="s">
        <v>24</v>
      </c>
      <c r="B8">
        <v>36</v>
      </c>
    </row>
    <row r="10" spans="1:5" x14ac:dyDescent="0.25">
      <c r="D10" t="s">
        <v>25</v>
      </c>
      <c r="E10">
        <f>AVERAGE(B:B)</f>
        <v>60.142857142857146</v>
      </c>
    </row>
    <row r="11" spans="1:5" x14ac:dyDescent="0.25">
      <c r="D11" t="s">
        <v>26</v>
      </c>
      <c r="E11">
        <f>MEDIAN(B:B)</f>
        <v>52</v>
      </c>
    </row>
    <row r="12" spans="1:5" x14ac:dyDescent="0.25">
      <c r="D12" t="s">
        <v>27</v>
      </c>
      <c r="E12">
        <f>MODE(B:B)</f>
        <v>52</v>
      </c>
    </row>
  </sheetData>
  <sortState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="130" zoomScaleNormal="130" workbookViewId="0">
      <selection activeCell="G1" sqref="G1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6" x14ac:dyDescent="0.25">
      <c r="A1" s="2" t="s">
        <v>13</v>
      </c>
      <c r="B1" s="2" t="s">
        <v>28</v>
      </c>
      <c r="C1" s="2" t="s">
        <v>14</v>
      </c>
    </row>
    <row r="2" spans="1:6" x14ac:dyDescent="0.25">
      <c r="A2" t="s">
        <v>0</v>
      </c>
      <c r="B2" t="s">
        <v>29</v>
      </c>
      <c r="C2">
        <v>28</v>
      </c>
      <c r="E2" t="s">
        <v>30</v>
      </c>
      <c r="F2">
        <f>SUMIF(B:B,B11,C:C)</f>
        <v>301</v>
      </c>
    </row>
    <row r="3" spans="1:6" x14ac:dyDescent="0.25">
      <c r="A3" t="s">
        <v>1</v>
      </c>
      <c r="B3" t="s">
        <v>29</v>
      </c>
      <c r="C3">
        <v>32</v>
      </c>
      <c r="E3" t="s">
        <v>31</v>
      </c>
      <c r="F3">
        <f>SUMIFS(C:C,B:B,B2,A:A,A3)</f>
        <v>32</v>
      </c>
    </row>
    <row r="4" spans="1:6" x14ac:dyDescent="0.25">
      <c r="A4" t="s">
        <v>2</v>
      </c>
      <c r="B4" t="s">
        <v>29</v>
      </c>
      <c r="C4">
        <v>52</v>
      </c>
    </row>
    <row r="5" spans="1:6" x14ac:dyDescent="0.25">
      <c r="A5" t="s">
        <v>18</v>
      </c>
      <c r="B5" t="s">
        <v>29</v>
      </c>
      <c r="C5">
        <v>67</v>
      </c>
    </row>
    <row r="6" spans="1:6" x14ac:dyDescent="0.25">
      <c r="A6" t="s">
        <v>20</v>
      </c>
      <c r="B6" t="s">
        <v>29</v>
      </c>
      <c r="C6">
        <v>44</v>
      </c>
    </row>
    <row r="7" spans="1:6" x14ac:dyDescent="0.25">
      <c r="A7" t="s">
        <v>22</v>
      </c>
      <c r="B7" t="s">
        <v>29</v>
      </c>
      <c r="C7">
        <v>39</v>
      </c>
      <c r="E7" t="s">
        <v>32</v>
      </c>
      <c r="F7">
        <f>AVERAGEIF(B:B,B17,C:C)</f>
        <v>62.857142857142854</v>
      </c>
    </row>
    <row r="8" spans="1:6" x14ac:dyDescent="0.25">
      <c r="A8" t="s">
        <v>24</v>
      </c>
      <c r="B8" t="s">
        <v>29</v>
      </c>
      <c r="C8">
        <v>100</v>
      </c>
      <c r="E8" t="s">
        <v>33</v>
      </c>
      <c r="F8">
        <f>AVERAGEIFS(C:C,B:B,B7,A:A,A6)</f>
        <v>44</v>
      </c>
    </row>
    <row r="9" spans="1:6" x14ac:dyDescent="0.25">
      <c r="A9" t="s">
        <v>0</v>
      </c>
      <c r="B9" t="s">
        <v>34</v>
      </c>
      <c r="C9">
        <v>75</v>
      </c>
      <c r="E9" t="s">
        <v>35</v>
      </c>
      <c r="F9">
        <f>COUNTIF(A:C,B4)</f>
        <v>7</v>
      </c>
    </row>
    <row r="10" spans="1:6" x14ac:dyDescent="0.25">
      <c r="A10" t="s">
        <v>1</v>
      </c>
      <c r="B10" t="s">
        <v>34</v>
      </c>
      <c r="C10">
        <v>32</v>
      </c>
      <c r="E10" t="s">
        <v>36</v>
      </c>
      <c r="F10">
        <f>COUNTIFS(B:B,B3,A:A,A4)</f>
        <v>1</v>
      </c>
    </row>
    <row r="11" spans="1:6" x14ac:dyDescent="0.25">
      <c r="A11" t="s">
        <v>2</v>
      </c>
      <c r="B11" t="s">
        <v>34</v>
      </c>
      <c r="C11">
        <v>40</v>
      </c>
      <c r="E11" t="s">
        <v>37</v>
      </c>
    </row>
    <row r="12" spans="1:6" x14ac:dyDescent="0.25">
      <c r="A12" t="s">
        <v>18</v>
      </c>
      <c r="B12" t="s">
        <v>34</v>
      </c>
      <c r="C12">
        <v>21</v>
      </c>
      <c r="E12" t="s">
        <v>38</v>
      </c>
    </row>
    <row r="13" spans="1:6" x14ac:dyDescent="0.25">
      <c r="A13" t="s">
        <v>20</v>
      </c>
      <c r="B13" t="s">
        <v>34</v>
      </c>
      <c r="C13">
        <v>58</v>
      </c>
    </row>
    <row r="14" spans="1:6" x14ac:dyDescent="0.25">
      <c r="A14" t="s">
        <v>22</v>
      </c>
      <c r="B14" t="s">
        <v>34</v>
      </c>
      <c r="C14">
        <v>21</v>
      </c>
    </row>
    <row r="15" spans="1:6" x14ac:dyDescent="0.25">
      <c r="A15" t="s">
        <v>24</v>
      </c>
      <c r="B15" t="s">
        <v>34</v>
      </c>
      <c r="C15">
        <v>54</v>
      </c>
    </row>
    <row r="16" spans="1:6" x14ac:dyDescent="0.25">
      <c r="A16" t="s">
        <v>0</v>
      </c>
      <c r="B16" t="s">
        <v>39</v>
      </c>
      <c r="C16">
        <v>55</v>
      </c>
    </row>
    <row r="17" spans="1:3" x14ac:dyDescent="0.25">
      <c r="A17" t="s">
        <v>1</v>
      </c>
      <c r="B17" t="s">
        <v>39</v>
      </c>
      <c r="C17">
        <v>41</v>
      </c>
    </row>
    <row r="18" spans="1:3" x14ac:dyDescent="0.25">
      <c r="A18" t="s">
        <v>2</v>
      </c>
      <c r="B18" t="s">
        <v>39</v>
      </c>
      <c r="C18">
        <v>92</v>
      </c>
    </row>
    <row r="19" spans="1:3" x14ac:dyDescent="0.25">
      <c r="A19" t="s">
        <v>18</v>
      </c>
      <c r="B19" t="s">
        <v>39</v>
      </c>
      <c r="C19">
        <v>89</v>
      </c>
    </row>
    <row r="20" spans="1:3" x14ac:dyDescent="0.25">
      <c r="A20" t="s">
        <v>20</v>
      </c>
      <c r="B20" t="s">
        <v>39</v>
      </c>
      <c r="C20">
        <v>34</v>
      </c>
    </row>
    <row r="21" spans="1:3" x14ac:dyDescent="0.25">
      <c r="A21" t="s">
        <v>22</v>
      </c>
      <c r="B21" t="s">
        <v>39</v>
      </c>
      <c r="C21">
        <v>29</v>
      </c>
    </row>
    <row r="22" spans="1:3" x14ac:dyDescent="0.2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26" zoomScale="190" zoomScaleNormal="190" workbookViewId="0">
      <selection activeCell="A33" sqref="A33"/>
    </sheetView>
  </sheetViews>
  <sheetFormatPr defaultRowHeight="15" x14ac:dyDescent="0.25"/>
  <cols>
    <col min="1" max="1" width="23.140625" customWidth="1"/>
  </cols>
  <sheetData>
    <row r="1" spans="1:3" x14ac:dyDescent="0.25">
      <c r="A1" s="2" t="s">
        <v>40</v>
      </c>
    </row>
    <row r="2" spans="1:3" x14ac:dyDescent="0.25">
      <c r="A2" t="s">
        <v>41</v>
      </c>
    </row>
    <row r="3" spans="1:3" x14ac:dyDescent="0.25">
      <c r="A3" t="str">
        <f>PROPER(A2)</f>
        <v>Kevin Cookie Company</v>
      </c>
    </row>
    <row r="5" spans="1:3" x14ac:dyDescent="0.25">
      <c r="A5" s="2" t="s">
        <v>42</v>
      </c>
    </row>
    <row r="6" spans="1:3" x14ac:dyDescent="0.25">
      <c r="A6" t="s">
        <v>43</v>
      </c>
    </row>
    <row r="7" spans="1:3" x14ac:dyDescent="0.25">
      <c r="A7" t="str">
        <f>TRIM(A6)</f>
        <v>Kevin Cookie Company</v>
      </c>
    </row>
    <row r="9" spans="1:3" x14ac:dyDescent="0.25">
      <c r="A9" s="2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tr">
        <f>CONCATENATE(A10," ",B10," ",C10)</f>
        <v>Kevin Cookie Company</v>
      </c>
    </row>
    <row r="13" spans="1:3" x14ac:dyDescent="0.25">
      <c r="A13" s="2" t="s">
        <v>48</v>
      </c>
    </row>
    <row r="14" spans="1:3" x14ac:dyDescent="0.25">
      <c r="A14" t="s">
        <v>45</v>
      </c>
      <c r="B14" t="s">
        <v>46</v>
      </c>
      <c r="C14" t="s">
        <v>47</v>
      </c>
    </row>
    <row r="15" spans="1:3" x14ac:dyDescent="0.25">
      <c r="A15" t="str">
        <f>A14&amp;" "&amp;B14&amp;" "&amp;C14</f>
        <v>Kevin Cookie Company</v>
      </c>
    </row>
    <row r="17" spans="1:3" x14ac:dyDescent="0.25">
      <c r="A17" s="2" t="s">
        <v>49</v>
      </c>
    </row>
    <row r="18" spans="1:3" x14ac:dyDescent="0.25">
      <c r="A18" t="s">
        <v>45</v>
      </c>
      <c r="B18" t="s">
        <v>46</v>
      </c>
      <c r="C18" t="s">
        <v>47</v>
      </c>
    </row>
    <row r="21" spans="1:3" x14ac:dyDescent="0.25">
      <c r="A21" s="2" t="s">
        <v>50</v>
      </c>
    </row>
    <row r="22" spans="1:3" x14ac:dyDescent="0.25">
      <c r="A22" t="s">
        <v>51</v>
      </c>
      <c r="B22" t="str">
        <f>MID(A22,10,6)</f>
        <v>Street</v>
      </c>
    </row>
    <row r="23" spans="1:3" x14ac:dyDescent="0.25">
      <c r="A23" t="str">
        <f>RIGHT(A22,5)</f>
        <v>05486</v>
      </c>
      <c r="B23" t="str">
        <f>LEFT(A22,3)</f>
        <v>123</v>
      </c>
    </row>
    <row r="24" spans="1:3" x14ac:dyDescent="0.25">
      <c r="A24" s="2" t="s">
        <v>52</v>
      </c>
    </row>
    <row r="25" spans="1:3" x14ac:dyDescent="0.25">
      <c r="A25" t="s">
        <v>53</v>
      </c>
    </row>
    <row r="26" spans="1:3" x14ac:dyDescent="0.25">
      <c r="A26">
        <f>LEN(A25)</f>
        <v>20</v>
      </c>
    </row>
    <row r="27" spans="1:3" x14ac:dyDescent="0.25">
      <c r="A27" s="2" t="s">
        <v>54</v>
      </c>
    </row>
    <row r="28" spans="1:3" x14ac:dyDescent="0.25">
      <c r="A28" s="5" t="s">
        <v>55</v>
      </c>
    </row>
    <row r="29" spans="1:3" x14ac:dyDescent="0.25">
      <c r="A29">
        <f>FIND("@",A28)</f>
        <v>4</v>
      </c>
    </row>
    <row r="31" spans="1:3" x14ac:dyDescent="0.25">
      <c r="A31" s="2" t="s">
        <v>56</v>
      </c>
    </row>
    <row r="32" spans="1:3" x14ac:dyDescent="0.25">
      <c r="A32" t="str">
        <f>LEFT(A28,FIND("@",A28)-1)</f>
        <v>sue</v>
      </c>
    </row>
  </sheetData>
  <hyperlinks>
    <hyperlink ref="A28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zoomScale="145" zoomScaleNormal="145" workbookViewId="0">
      <selection activeCell="C7" sqref="C7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57</v>
      </c>
    </row>
    <row r="2" spans="1:3" x14ac:dyDescent="0.25">
      <c r="A2" t="s">
        <v>53</v>
      </c>
      <c r="B2" t="s">
        <v>58</v>
      </c>
      <c r="C2" t="b">
        <f>A2=B2</f>
        <v>0</v>
      </c>
    </row>
    <row r="3" spans="1:3" x14ac:dyDescent="0.25">
      <c r="A3">
        <v>10</v>
      </c>
      <c r="B3">
        <v>5</v>
      </c>
      <c r="C3" t="b">
        <f>A3=B4</f>
        <v>0</v>
      </c>
    </row>
    <row r="4" spans="1:3" x14ac:dyDescent="0.25">
      <c r="B4">
        <v>11</v>
      </c>
      <c r="C4" t="b">
        <f>B4&gt;B3</f>
        <v>1</v>
      </c>
    </row>
    <row r="5" spans="1:3" x14ac:dyDescent="0.25">
      <c r="C5" t="b">
        <f>AND(A3&gt;B3,A3&gt;B4)</f>
        <v>0</v>
      </c>
    </row>
    <row r="6" spans="1:3" x14ac:dyDescent="0.25">
      <c r="C6" t="b">
        <f>OR(A3&gt;B3,A3&gt;B4)</f>
        <v>1</v>
      </c>
    </row>
    <row r="8" spans="1:3" x14ac:dyDescent="0.25">
      <c r="A8" s="2"/>
    </row>
    <row r="9" spans="1:3" x14ac:dyDescent="0.25">
      <c r="A9" s="2" t="s">
        <v>13</v>
      </c>
      <c r="B9" s="2" t="s">
        <v>14</v>
      </c>
      <c r="C9" s="2" t="s">
        <v>59</v>
      </c>
    </row>
    <row r="10" spans="1:3" x14ac:dyDescent="0.25">
      <c r="A10" t="s">
        <v>0</v>
      </c>
      <c r="B10">
        <v>97</v>
      </c>
      <c r="C10" t="s">
        <v>60</v>
      </c>
    </row>
    <row r="11" spans="1:3" x14ac:dyDescent="0.25">
      <c r="A11" t="s">
        <v>1</v>
      </c>
      <c r="B11">
        <v>150</v>
      </c>
      <c r="C11" t="str">
        <f>IF(B10&gt;B11,"chocolate chip","oatmeal raisin")</f>
        <v>oatmeal raisin</v>
      </c>
    </row>
    <row r="12" spans="1:3" x14ac:dyDescent="0.25">
      <c r="A12" t="s">
        <v>2</v>
      </c>
      <c r="B12">
        <v>150</v>
      </c>
    </row>
    <row r="13" spans="1:3" x14ac:dyDescent="0.25">
      <c r="C13" s="2" t="s">
        <v>61</v>
      </c>
    </row>
    <row r="14" spans="1:3" x14ac:dyDescent="0.25">
      <c r="C14" t="s">
        <v>62</v>
      </c>
    </row>
    <row r="15" spans="1:3" x14ac:dyDescent="0.25">
      <c r="C15" t="str">
        <f>IF(AND(B10&gt;B11,B10&gt;B12),"yes","no")</f>
        <v>no</v>
      </c>
    </row>
    <row r="17" spans="1:5" x14ac:dyDescent="0.25">
      <c r="C17" s="2" t="s">
        <v>63</v>
      </c>
    </row>
    <row r="18" spans="1:5" x14ac:dyDescent="0.25">
      <c r="C18" t="s">
        <v>64</v>
      </c>
    </row>
    <row r="19" spans="1:5" x14ac:dyDescent="0.25">
      <c r="C19" t="str">
        <f>IF(OR(B14&gt;B15,B14&gt;B16),"yes","no")</f>
        <v>no</v>
      </c>
    </row>
    <row r="21" spans="1:5" x14ac:dyDescent="0.25">
      <c r="A21" s="2" t="s">
        <v>65</v>
      </c>
      <c r="B21" s="2" t="s">
        <v>66</v>
      </c>
      <c r="C21" s="2" t="s">
        <v>67</v>
      </c>
    </row>
    <row r="22" spans="1:5" x14ac:dyDescent="0.25">
      <c r="A22" t="s">
        <v>0</v>
      </c>
      <c r="B22">
        <v>10</v>
      </c>
      <c r="C22" t="s">
        <v>68</v>
      </c>
      <c r="E22" s="2" t="s">
        <v>2</v>
      </c>
    </row>
    <row r="23" spans="1:5" x14ac:dyDescent="0.25">
      <c r="A23" t="s">
        <v>1</v>
      </c>
      <c r="B23">
        <v>8</v>
      </c>
      <c r="C23">
        <f>IF(E22=A22,B22,IF(E22=A24,B24,IF(E22=A23,B23,"unknown")))</f>
        <v>5</v>
      </c>
    </row>
    <row r="24" spans="1:5" x14ac:dyDescent="0.25">
      <c r="A24" t="s">
        <v>2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zoomScale="145" zoomScaleNormal="145" workbookViewId="0">
      <selection activeCell="G10" sqref="G10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7" x14ac:dyDescent="0.2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7" x14ac:dyDescent="0.25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7" x14ac:dyDescent="0.25">
      <c r="A3" t="s">
        <v>1</v>
      </c>
      <c r="B3">
        <v>8</v>
      </c>
      <c r="C3">
        <v>3</v>
      </c>
      <c r="E3">
        <f>VLOOKUP(F2,A:C,2)</f>
        <v>5</v>
      </c>
    </row>
    <row r="4" spans="1:7" x14ac:dyDescent="0.25">
      <c r="A4" t="s">
        <v>2</v>
      </c>
      <c r="B4">
        <v>5</v>
      </c>
      <c r="C4">
        <v>2</v>
      </c>
    </row>
    <row r="5" spans="1:7" x14ac:dyDescent="0.25">
      <c r="B5">
        <v>23</v>
      </c>
      <c r="E5" s="2" t="s">
        <v>70</v>
      </c>
    </row>
    <row r="6" spans="1:7" ht="15.75" customHeight="1" x14ac:dyDescent="0.25">
      <c r="E6" t="s">
        <v>68</v>
      </c>
      <c r="F6" t="s">
        <v>0</v>
      </c>
    </row>
    <row r="7" spans="1:7" ht="15.75" customHeight="1" x14ac:dyDescent="0.25"/>
    <row r="8" spans="1:7" ht="15.75" customHeight="1" x14ac:dyDescent="0.25"/>
    <row r="9" spans="1:7" ht="15.75" customHeight="1" x14ac:dyDescent="0.25">
      <c r="E9" t="s">
        <v>73</v>
      </c>
      <c r="F9" t="s">
        <v>74</v>
      </c>
      <c r="G9">
        <v>4</v>
      </c>
    </row>
    <row r="10" spans="1:7" x14ac:dyDescent="0.25">
      <c r="E10">
        <f>INDEX(A1:C4,3,2)</f>
        <v>8</v>
      </c>
      <c r="F10">
        <f>MATCH(G9,C1:C4)</f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zoomScale="250" zoomScaleNormal="250" workbookViewId="0">
      <selection activeCell="A6" sqref="A6"/>
    </sheetView>
  </sheetViews>
  <sheetFormatPr defaultRowHeight="15" x14ac:dyDescent="0.25"/>
  <cols>
    <col min="1" max="1" width="15.42578125" bestFit="1" customWidth="1"/>
  </cols>
  <sheetData>
    <row r="1" spans="1:1" x14ac:dyDescent="0.25">
      <c r="A1" s="2" t="s">
        <v>71</v>
      </c>
    </row>
    <row r="2" spans="1:1" x14ac:dyDescent="0.25">
      <c r="A2" s="6">
        <f ca="1">TODAY()</f>
        <v>46086</v>
      </c>
    </row>
    <row r="4" spans="1:1" x14ac:dyDescent="0.25">
      <c r="A4" s="2" t="s">
        <v>72</v>
      </c>
    </row>
    <row r="5" spans="1:1" x14ac:dyDescent="0.25">
      <c r="A5" s="7">
        <f ca="1">NOW()</f>
        <v>46086.716092708331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="325" zoomScaleNormal="325" workbookViewId="0"/>
  </sheetViews>
  <sheetFormatPr defaultRowHeight="15" x14ac:dyDescent="0.25"/>
  <sheetData>
    <row r="1" spans="1:2" x14ac:dyDescent="0.25">
      <c r="A1">
        <f>5+4</f>
        <v>9</v>
      </c>
      <c r="B1">
        <v>1</v>
      </c>
    </row>
    <row r="2" spans="1:2" x14ac:dyDescent="0.25">
      <c r="A2">
        <f>8-2</f>
        <v>6</v>
      </c>
      <c r="B2">
        <v>3</v>
      </c>
    </row>
    <row r="3" spans="1:2" x14ac:dyDescent="0.25">
      <c r="A3">
        <f>A2+B2</f>
        <v>9</v>
      </c>
      <c r="B3">
        <f>4+2</f>
        <v>6</v>
      </c>
    </row>
    <row r="4" spans="1:2" x14ac:dyDescent="0.25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USER</cp:lastModifiedBy>
  <cp:revision/>
  <dcterms:created xsi:type="dcterms:W3CDTF">2022-05-10T22:30:35Z</dcterms:created>
  <dcterms:modified xsi:type="dcterms:W3CDTF">2026-03-05T16:11:44Z</dcterms:modified>
  <cp:category/>
  <cp:contentStatus/>
</cp:coreProperties>
</file>